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benr\OneDrive\Documents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6" i="1"/>
  <c r="E5" i="1"/>
  <c r="D8" i="1"/>
  <c r="D7" i="1"/>
  <c r="D6" i="1"/>
  <c r="D5" i="1"/>
  <c r="F5" i="1" s="1"/>
  <c r="C8" i="1"/>
  <c r="C7" i="1"/>
  <c r="C6" i="1"/>
  <c r="C5" i="1"/>
  <c r="B5" i="1"/>
  <c r="E7" i="1"/>
</calcChain>
</file>

<file path=xl/sharedStrings.xml><?xml version="1.0" encoding="utf-8"?>
<sst xmlns="http://schemas.openxmlformats.org/spreadsheetml/2006/main" count="12" uniqueCount="10">
  <si>
    <t>INTEREST</t>
  </si>
  <si>
    <t>PERIOD</t>
  </si>
  <si>
    <t>MONTHLY PAYMENT</t>
  </si>
  <si>
    <t>DEBT</t>
  </si>
  <si>
    <t>MONTH</t>
  </si>
  <si>
    <t>PRINCIPAL</t>
  </si>
  <si>
    <t>IPMT</t>
  </si>
  <si>
    <t>PPMT</t>
  </si>
  <si>
    <t>BONUS</t>
  </si>
  <si>
    <t>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</si>
</sst>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8" sqref="D8"/>
    </sheetView>
  </sheetViews>
  <sheetFormatPr defaultRowHeight="14.5" x14ac:dyDescent="0.35"/>
  <cols>
    <col min="2" max="2" width="9.90625" customWidth="1"/>
    <col min="3" max="3" width="11.26953125" customWidth="1"/>
    <col min="4" max="4" width="21" customWidth="1"/>
    <col min="5" max="5" width="17.1796875" customWidth="1"/>
    <col min="6" max="7" width="12.08984375" bestFit="1" customWidth="1"/>
  </cols>
  <sheetData>
    <row r="1" spans="1:7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7" x14ac:dyDescent="0.35">
      <c r="A2">
        <v>200000</v>
      </c>
      <c r="B2" s="1">
        <v>0.06</v>
      </c>
      <c r="C2">
        <v>60</v>
      </c>
    </row>
    <row r="4" spans="1:7" x14ac:dyDescent="0.35">
      <c r="A4" t="s">
        <v>4</v>
      </c>
      <c r="B4" t="s">
        <v>5</v>
      </c>
      <c r="C4" t="s">
        <v>6</v>
      </c>
      <c r="D4" t="s">
        <v>7</v>
      </c>
      <c r="E4" t="s">
        <v>9</v>
      </c>
      <c r="F4" t="s">
        <v>3</v>
      </c>
      <c r="G4" t="s">
        <v>8</v>
      </c>
    </row>
    <row r="5" spans="1:7" x14ac:dyDescent="0.35">
      <c r="A5">
        <v>1</v>
      </c>
      <c r="B5">
        <f>$A$2</f>
        <v>200000</v>
      </c>
      <c r="C5" s="2">
        <f>IPMT($B$2/12,$A5,$C$2, -$A2)</f>
        <v>1000</v>
      </c>
      <c r="D5" s="2">
        <f>PPMT($B$2/12,$A5,$C$2,-$A2)</f>
        <v>2866.5603058855831</v>
      </c>
      <c r="E5" s="2">
        <f>PMT($B2/12,$C$2,-$A2)</f>
        <v>3866.5603058855831</v>
      </c>
      <c r="F5" s="2">
        <f>($D$5-$B$5)</f>
        <v>-197133.43969411441</v>
      </c>
      <c r="G5" s="2"/>
    </row>
    <row r="6" spans="1:7" x14ac:dyDescent="0.35">
      <c r="A6">
        <v>2</v>
      </c>
      <c r="B6" s="2"/>
      <c r="C6" s="2">
        <f>IPMT($B$2/12,$A6,$C$2,-$A2)</f>
        <v>985.6671984705722</v>
      </c>
      <c r="D6" s="2">
        <f>PPMT($B$2/12,$A6,$C$2,-$A2)</f>
        <v>2880.8931074150109</v>
      </c>
      <c r="E6" s="2">
        <f>PMT($B$2/12,$C$2,-$A2)</f>
        <v>3866.5603058855831</v>
      </c>
      <c r="F6" s="2"/>
    </row>
    <row r="7" spans="1:7" x14ac:dyDescent="0.35">
      <c r="A7">
        <v>3</v>
      </c>
      <c r="C7" s="2">
        <f>IPMT($B$2/12,$A7,$C$2,-$A2)</f>
        <v>971.26273293349686</v>
      </c>
      <c r="D7" s="2">
        <f>PPMT($B$2/12,$A7,$C$2,-$A2)</f>
        <v>2895.2975729520858</v>
      </c>
      <c r="E7" s="2">
        <f>PMT(0.06/12,60,-200000)</f>
        <v>3866.5603058855831</v>
      </c>
    </row>
    <row r="8" spans="1:7" x14ac:dyDescent="0.35">
      <c r="A8">
        <v>4</v>
      </c>
      <c r="C8" s="2">
        <f>IPMT($B$2/12,$A8,$C$2,-$A2)</f>
        <v>956.78624506873666</v>
      </c>
      <c r="D8" s="2">
        <f>PPMT($B$2/12,$A8,$C$2,-$A2)</f>
        <v>2909.7740608168465</v>
      </c>
      <c r="E8" s="2">
        <f>PMT($B$2/12,$C$2,-$A2)</f>
        <v>3866.5603058855831</v>
      </c>
    </row>
    <row r="9" spans="1:7" x14ac:dyDescent="0.35">
      <c r="D9" s="2"/>
      <c r="E9" s="2"/>
    </row>
    <row r="10" spans="1:7" x14ac:dyDescent="0.35">
      <c r="D10" s="2"/>
      <c r="E10" s="2"/>
    </row>
    <row r="11" spans="1:7" x14ac:dyDescent="0.35">
      <c r="D11" s="2"/>
      <c r="E11" s="2"/>
    </row>
    <row r="12" spans="1:7" x14ac:dyDescent="0.35">
      <c r="D12" s="2"/>
      <c r="E12" s="2"/>
    </row>
    <row r="13" spans="1:7" x14ac:dyDescent="0.35">
      <c r="D13" s="2"/>
      <c r="E13" s="2"/>
    </row>
    <row r="14" spans="1:7" x14ac:dyDescent="0.35">
      <c r="D14" s="2"/>
      <c r="E14" s="2"/>
    </row>
    <row r="15" spans="1:7" x14ac:dyDescent="0.35">
      <c r="D15" s="2"/>
      <c r="E15" s="2"/>
    </row>
    <row r="16" spans="1:7" x14ac:dyDescent="0.35">
      <c r="D16" s="2"/>
      <c r="E16" s="2"/>
    </row>
    <row r="17" spans="4:5" x14ac:dyDescent="0.35">
      <c r="D17" s="2"/>
      <c r="E17" s="2"/>
    </row>
    <row r="18" spans="4:5" x14ac:dyDescent="0.35"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Adegbnenro</dc:creator>
  <cp:lastModifiedBy>Ibrahim Adegbnenro</cp:lastModifiedBy>
  <dcterms:created xsi:type="dcterms:W3CDTF">2026-07-25T18:55:42Z</dcterms:created>
  <dcterms:modified xsi:type="dcterms:W3CDTF">2026-07-25T23:55:10Z</dcterms:modified>
</cp:coreProperties>
</file>