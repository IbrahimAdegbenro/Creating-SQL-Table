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benr\OneDrive\Document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  <c r="E17" i="1"/>
  <c r="D17" i="1"/>
  <c r="C17" i="1"/>
  <c r="B17" i="1"/>
  <c r="F16" i="1"/>
  <c r="E16" i="1"/>
  <c r="D16" i="1"/>
  <c r="C16" i="1"/>
  <c r="B16" i="1"/>
  <c r="F15" i="1"/>
  <c r="E15" i="1"/>
  <c r="C15" i="1"/>
  <c r="D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B7" i="1"/>
  <c r="D7" i="1"/>
  <c r="F7" i="1" s="1"/>
  <c r="C7" i="1"/>
  <c r="F6" i="1"/>
  <c r="E6" i="1"/>
  <c r="D6" i="1"/>
  <c r="C6" i="1"/>
  <c r="F2" i="1"/>
  <c r="E2" i="1"/>
  <c r="D2" i="1"/>
  <c r="B8" i="1" l="1"/>
  <c r="E7" i="1"/>
  <c r="D8" i="1" l="1"/>
  <c r="F8" i="1" s="1"/>
  <c r="C8" i="1"/>
  <c r="E8" i="1" s="1"/>
  <c r="B9" i="1" l="1"/>
  <c r="D9" i="1" l="1"/>
  <c r="F9" i="1" s="1"/>
  <c r="C9" i="1"/>
  <c r="E9" i="1" s="1"/>
</calcChain>
</file>

<file path=xl/sharedStrings.xml><?xml version="1.0" encoding="utf-8"?>
<sst xmlns="http://schemas.openxmlformats.org/spreadsheetml/2006/main" count="12" uniqueCount="10">
  <si>
    <t>LOAN</t>
  </si>
  <si>
    <t>INTEREST</t>
  </si>
  <si>
    <t>PERIOD</t>
  </si>
  <si>
    <t>MONTHLY</t>
  </si>
  <si>
    <t>PPMT</t>
  </si>
  <si>
    <t>IPMT</t>
  </si>
  <si>
    <t>MONTH</t>
  </si>
  <si>
    <t>PRINCIPAL</t>
  </si>
  <si>
    <t>MONTHLY PAYMENT</t>
  </si>
  <si>
    <t>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</si>
</sst>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F18" sqref="F18"/>
    </sheetView>
  </sheetViews>
  <sheetFormatPr defaultRowHeight="14.5" x14ac:dyDescent="0.35"/>
  <cols>
    <col min="2" max="2" width="11.453125" customWidth="1"/>
    <col min="3" max="3" width="9.453125" bestFit="1" customWidth="1"/>
    <col min="4" max="4" width="9.81640625" customWidth="1"/>
    <col min="5" max="5" width="17.6328125" customWidth="1"/>
    <col min="6" max="6" width="11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35">
      <c r="A2">
        <v>200000</v>
      </c>
      <c r="B2" s="1">
        <v>0.06</v>
      </c>
      <c r="C2">
        <v>60</v>
      </c>
      <c r="D2" s="2">
        <f>PMT(B2/12,C2,-A2)</f>
        <v>3866.5603058855831</v>
      </c>
      <c r="E2" s="2">
        <f>PPMT(B2/12,1,C2,-A2)</f>
        <v>2866.5603058855831</v>
      </c>
      <c r="F2" s="2">
        <f>IPMT(B2/12,1,C2,-A2)</f>
        <v>1000</v>
      </c>
    </row>
    <row r="5" spans="1:6" x14ac:dyDescent="0.35">
      <c r="A5" t="s">
        <v>6</v>
      </c>
      <c r="B5" t="s">
        <v>7</v>
      </c>
      <c r="C5" t="s">
        <v>5</v>
      </c>
      <c r="D5" t="s">
        <v>4</v>
      </c>
      <c r="E5" t="s">
        <v>8</v>
      </c>
      <c r="F5" t="s">
        <v>9</v>
      </c>
    </row>
    <row r="6" spans="1:6" x14ac:dyDescent="0.35">
      <c r="A6">
        <v>1</v>
      </c>
      <c r="B6">
        <v>200000</v>
      </c>
      <c r="C6" s="2">
        <f>IPMT(B2/12,1,C2,-B6)</f>
        <v>1000</v>
      </c>
      <c r="D6" s="2">
        <f>PPMT(B2/12,1,C2,-B6)</f>
        <v>2866.5603058855831</v>
      </c>
      <c r="E6" s="2">
        <f>C6+D6</f>
        <v>3866.5603058855831</v>
      </c>
      <c r="F6" s="2">
        <f>B6-D6</f>
        <v>197133.43969411441</v>
      </c>
    </row>
    <row r="7" spans="1:6" x14ac:dyDescent="0.35">
      <c r="A7">
        <v>2</v>
      </c>
      <c r="B7" s="2">
        <f>B6-D6</f>
        <v>197133.43969411441</v>
      </c>
      <c r="C7" s="2">
        <f>IPMT(B2/12,2,C2,-B7)</f>
        <v>971.53982614082611</v>
      </c>
      <c r="D7" s="2">
        <f>PPMT(B2/12,2,C2,-B7)</f>
        <v>2839.6018382789339</v>
      </c>
      <c r="E7" s="2">
        <f>C7+D7</f>
        <v>3811.1416644197598</v>
      </c>
      <c r="F7" s="2">
        <f>B7-D7</f>
        <v>194293.83785583547</v>
      </c>
    </row>
    <row r="8" spans="1:6" x14ac:dyDescent="0.35">
      <c r="A8">
        <v>3</v>
      </c>
      <c r="B8" s="2">
        <f>B7-D7</f>
        <v>194293.83785583547</v>
      </c>
      <c r="C8" s="2">
        <f>IPMT(B2/12,3,C2,-B8)</f>
        <v>943.55181973998231</v>
      </c>
      <c r="D8" s="2">
        <f>PPMT(B2/12,3,C2,-B8)</f>
        <v>2812.6923859177327</v>
      </c>
      <c r="E8" s="2">
        <f>C8+D8</f>
        <v>3756.2442056577152</v>
      </c>
      <c r="F8" s="2">
        <f>B8-D8</f>
        <v>191481.14546991774</v>
      </c>
    </row>
    <row r="9" spans="1:6" x14ac:dyDescent="0.35">
      <c r="A9">
        <v>4</v>
      </c>
      <c r="B9" s="2">
        <f>B8-D8</f>
        <v>191481.14546991774</v>
      </c>
      <c r="C9" s="2">
        <f>IPMT(B2/12,4,C2,-B9)</f>
        <v>916.03263087811547</v>
      </c>
      <c r="D9" s="2">
        <f>PPMT(B2/12,4,C2,-B9)</f>
        <v>2785.8343511193189</v>
      </c>
      <c r="E9" s="2">
        <f>C9+D9</f>
        <v>3701.8669819974343</v>
      </c>
      <c r="F9" s="2">
        <f>B9-D9</f>
        <v>188695.31111879842</v>
      </c>
    </row>
    <row r="10" spans="1:6" x14ac:dyDescent="0.35">
      <c r="A10">
        <v>5</v>
      </c>
      <c r="B10" s="2">
        <f>B9-D9</f>
        <v>188695.31111879842</v>
      </c>
      <c r="C10" s="2">
        <f>IPMT(B2/12,5,C2,-B10)</f>
        <v>888.9788728948796</v>
      </c>
      <c r="D10" s="2">
        <f>PPMT(B2/12,5,C2,-B10)</f>
        <v>2759.0301264985028</v>
      </c>
      <c r="E10" s="2">
        <f>C10+D10</f>
        <v>3648.0089993933825</v>
      </c>
      <c r="F10" s="2">
        <f>B10-D10</f>
        <v>185936.2809922999</v>
      </c>
    </row>
    <row r="11" spans="1:6" x14ac:dyDescent="0.35">
      <c r="A11">
        <v>6</v>
      </c>
      <c r="B11" s="2">
        <f>B10-D10</f>
        <v>185936.2809922999</v>
      </c>
      <c r="C11" s="2">
        <f>IPMT(B2/12,6,C2,-B11)</f>
        <v>862.38712312260895</v>
      </c>
      <c r="D11" s="2">
        <f>PPMT(B2/12,6,C2,-B11)</f>
        <v>2732.2820944214654</v>
      </c>
      <c r="E11" s="2">
        <f>C11+D11</f>
        <v>3594.6692175440744</v>
      </c>
      <c r="F11" s="2">
        <f>B11-D11</f>
        <v>183203.99889787842</v>
      </c>
    </row>
    <row r="12" spans="1:6" x14ac:dyDescent="0.35">
      <c r="A12">
        <v>7</v>
      </c>
      <c r="B12" s="2">
        <f>B11-D11</f>
        <v>183203.99889787842</v>
      </c>
      <c r="C12" s="2">
        <f>IPMT(B2/12,7,C2,-B12)</f>
        <v>836.25392363022888</v>
      </c>
      <c r="D12" s="2">
        <f>PPMT(B2/12,7,C2,-B12)</f>
        <v>2705.5926264599852</v>
      </c>
      <c r="E12" s="2">
        <f>C12+D12</f>
        <v>3541.8465500902139</v>
      </c>
      <c r="F12" s="2">
        <f>B12-D12</f>
        <v>180498.40627141844</v>
      </c>
    </row>
    <row r="13" spans="1:6" x14ac:dyDescent="0.35">
      <c r="A13">
        <v>8</v>
      </c>
      <c r="B13" s="2">
        <f>B12-D12</f>
        <v>180498.40627141844</v>
      </c>
      <c r="C13" s="2">
        <f>IPMT(B2/12,8,C2,-B13)</f>
        <v>810.57578197720125</v>
      </c>
      <c r="D13" s="2">
        <f>PPMT(B2/12,8,C2,-B13)</f>
        <v>2678.9640828461775</v>
      </c>
      <c r="E13" s="2">
        <f>C13+D13</f>
        <v>3489.5398648233786</v>
      </c>
      <c r="F13" s="2">
        <f>B13-D13</f>
        <v>177819.44218857225</v>
      </c>
    </row>
    <row r="14" spans="1:6" x14ac:dyDescent="0.35">
      <c r="A14">
        <v>9</v>
      </c>
      <c r="B14" s="2">
        <f>B13-D13</f>
        <v>177819.44218857225</v>
      </c>
      <c r="C14" s="2">
        <f>IPMT(B2/12,9,C2,-B14)</f>
        <v>785.34917197727952</v>
      </c>
      <c r="D14" s="2">
        <f>PPMT(B2/12,9,C2,-B14)</f>
        <v>2652.3988119279688</v>
      </c>
      <c r="E14" s="2">
        <f>C14+D14</f>
        <v>3437.7479839052485</v>
      </c>
      <c r="F14" s="2">
        <f>B14-D14</f>
        <v>175167.04337664429</v>
      </c>
    </row>
    <row r="15" spans="1:6" x14ac:dyDescent="0.35">
      <c r="A15">
        <v>10</v>
      </c>
      <c r="B15" s="2">
        <f>B14-D14</f>
        <v>175167.04337664429</v>
      </c>
      <c r="C15" s="2">
        <f>IPMT(B2/12,10,C2,-B15)</f>
        <v>760.57053447185785</v>
      </c>
      <c r="D15" s="2">
        <f>PPMT(B2/12,10,C2,-B15)</f>
        <v>2625.8991496254962</v>
      </c>
      <c r="E15" s="2">
        <f>C15+D15</f>
        <v>3386.4696840973538</v>
      </c>
      <c r="F15" s="2">
        <f>B15-D15</f>
        <v>172541.14422701878</v>
      </c>
    </row>
    <row r="16" spans="1:6" x14ac:dyDescent="0.35">
      <c r="A16">
        <v>11</v>
      </c>
      <c r="B16" s="2">
        <f>B15-D15</f>
        <v>172541.14422701878</v>
      </c>
      <c r="C16" s="2">
        <f>IPMT(B2/12,11,C2,-B16)</f>
        <v>736.23627811268545</v>
      </c>
      <c r="D16" s="2">
        <f>PPMT(B2/12,11,C2,-B16)</f>
        <v>2599.4674188886652</v>
      </c>
      <c r="E16" s="2">
        <f>C16+D16</f>
        <v>3335.7036970013505</v>
      </c>
      <c r="F16" s="2">
        <f>B16-D16</f>
        <v>169941.67680813011</v>
      </c>
    </row>
    <row r="17" spans="1:6" x14ac:dyDescent="0.35">
      <c r="A17">
        <v>12</v>
      </c>
      <c r="B17" s="2">
        <f>B16-D16</f>
        <v>169941.67680813011</v>
      </c>
      <c r="C17" s="2">
        <f>IPMT(B2/12,12,C2,-B17)</f>
        <v>712.34278015370762</v>
      </c>
      <c r="D17" s="2">
        <f>PPMT(B2/12,12,C2,-B17)</f>
        <v>2573.105929156055</v>
      </c>
      <c r="E17" s="2">
        <f>C17+D17</f>
        <v>3285.4487093097628</v>
      </c>
      <c r="F17" s="2">
        <f>B17-D17</f>
        <v>167368.57087897405</v>
      </c>
    </row>
    <row r="18" spans="1:6" x14ac:dyDescent="0.35">
      <c r="F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Adegbnenro</dc:creator>
  <cp:lastModifiedBy>Ibrahim Adegbnenro</cp:lastModifiedBy>
  <dcterms:created xsi:type="dcterms:W3CDTF">2026-07-26T17:31:01Z</dcterms:created>
  <dcterms:modified xsi:type="dcterms:W3CDTF">2026-07-26T20:07:02Z</dcterms:modified>
</cp:coreProperties>
</file>